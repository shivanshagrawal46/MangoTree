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rah\Secure Share Folder\NOTE SALES\SPENCER\"/>
    </mc:Choice>
  </mc:AlternateContent>
  <xr:revisionPtr revIDLastSave="0" documentId="8_{5BDCACC3-DE02-443E-A803-DC683B68288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ccount Status Report" sheetId="1" r:id="rId1"/>
    <sheet name="Summary" sheetId="2" r:id="rId2"/>
  </sheets>
  <definedNames>
    <definedName name="_xlnm._FilterDatabase" localSheetId="0" hidden="1">'Account Status Report'!$A$8:$K$30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1" l="1"/>
  <c r="P28" i="1"/>
  <c r="P29" i="1"/>
  <c r="P30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9" i="1"/>
</calcChain>
</file>

<file path=xl/sharedStrings.xml><?xml version="1.0" encoding="utf-8"?>
<sst xmlns="http://schemas.openxmlformats.org/spreadsheetml/2006/main" count="163" uniqueCount="110">
  <si>
    <t>Property Address</t>
  </si>
  <si>
    <t>Payment</t>
  </si>
  <si>
    <t>Balance</t>
  </si>
  <si>
    <t>YTD Interest</t>
  </si>
  <si>
    <t>YTD Principal</t>
  </si>
  <si>
    <t>Interest Paid-To</t>
  </si>
  <si>
    <t>Last Paid</t>
  </si>
  <si>
    <t>Next Due</t>
  </si>
  <si>
    <t>Interest Rate</t>
  </si>
  <si>
    <t>Due in Full</t>
  </si>
  <si>
    <t>Account Status</t>
  </si>
  <si>
    <t>08/04/26</t>
  </si>
  <si>
    <t>Active</t>
  </si>
  <si>
    <t>113 Crestline, Pleasanton TX 78064</t>
  </si>
  <si>
    <t>08/06/26</t>
  </si>
  <si>
    <t>08/24/26</t>
  </si>
  <si>
    <t>09/06/26</t>
  </si>
  <si>
    <t>3/6/2027</t>
  </si>
  <si>
    <t>08/07/26</t>
  </si>
  <si>
    <t>08/10/26</t>
  </si>
  <si>
    <t>1282 Morning Glory, Adkins TX 78101</t>
  </si>
  <si>
    <t>08/01/26</t>
  </si>
  <si>
    <t>09/01/26</t>
  </si>
  <si>
    <t>2/18/2045</t>
  </si>
  <si>
    <t>1326 Range Field, San Antonio TX 78245</t>
  </si>
  <si>
    <t>07/01/26</t>
  </si>
  <si>
    <t>07/29/26</t>
  </si>
  <si>
    <t>10/18/2051</t>
  </si>
  <si>
    <t>15010 Morning Path, San Antonio TX 78247</t>
  </si>
  <si>
    <t>09/19/26</t>
  </si>
  <si>
    <t>08/19/26</t>
  </si>
  <si>
    <t>10/19/26</t>
  </si>
  <si>
    <t>12/19/2038</t>
  </si>
  <si>
    <t>1827 Camp Light Way, San Antonio TX 78245</t>
  </si>
  <si>
    <t>06/01/26</t>
  </si>
  <si>
    <t>2/28/2048</t>
  </si>
  <si>
    <t>226 Beechwood Lane, San Antonio TX 78216</t>
  </si>
  <si>
    <t>08/05/26</t>
  </si>
  <si>
    <t>3/21/2046</t>
  </si>
  <si>
    <t>230 Menlo Blvd, San Antonio TX 78233</t>
  </si>
  <si>
    <t>08/18/26</t>
  </si>
  <si>
    <t>8/30/2052</t>
  </si>
  <si>
    <t>231 Royston Ave, San Antonio TX 78225</t>
  </si>
  <si>
    <t>09/02/26</t>
  </si>
  <si>
    <t>08/25/26</t>
  </si>
  <si>
    <t>10/01/26</t>
  </si>
  <si>
    <t>5/2/2047</t>
  </si>
  <si>
    <t>08/21/26</t>
  </si>
  <si>
    <t>315 Howard St, San Antonio TX 78212</t>
  </si>
  <si>
    <t>08/29/26</t>
  </si>
  <si>
    <t>5/29/2029</t>
  </si>
  <si>
    <t>334 Bobby Clark Dr, San Antonio TX 78133</t>
  </si>
  <si>
    <t>08/03/26</t>
  </si>
  <si>
    <t>6/29/2052</t>
  </si>
  <si>
    <t>338 Hialeah Avenue, San Antonio TX 78266</t>
  </si>
  <si>
    <t>09/05/26</t>
  </si>
  <si>
    <t>8/5/2046</t>
  </si>
  <si>
    <t>3411 Jefferson Drive, New Braunfels TX 78132</t>
  </si>
  <si>
    <t>09/24/26</t>
  </si>
  <si>
    <t>1/24/2050</t>
  </si>
  <si>
    <t>3603 Rock Creek Run, San Antonio TX 78230</t>
  </si>
  <si>
    <t>07/07/26</t>
  </si>
  <si>
    <t>12/7/2051</t>
  </si>
  <si>
    <t>3615 Lakefield Street, San Antonio TX 78230</t>
  </si>
  <si>
    <t>10/5/2047</t>
  </si>
  <si>
    <t>421 Howard St, San Antonio TX 78212</t>
  </si>
  <si>
    <t>08/02/26</t>
  </si>
  <si>
    <t>7/2/2029</t>
  </si>
  <si>
    <t>430 East Byrd Blvd, Universal City TX 78266</t>
  </si>
  <si>
    <t>07/28/26</t>
  </si>
  <si>
    <t>12/30/2045</t>
  </si>
  <si>
    <t>602 Donaldson Avenue, San Antonio TX 78201</t>
  </si>
  <si>
    <t>12/7/2050</t>
  </si>
  <si>
    <t>607 Meadow Top, Converse TX 78109</t>
  </si>
  <si>
    <t>08/12/26</t>
  </si>
  <si>
    <t>8/1/2047</t>
  </si>
  <si>
    <t>7867 Lark Ridge, San Antonio TX 78250</t>
  </si>
  <si>
    <t>09/03/26</t>
  </si>
  <si>
    <t>7/3/2054</t>
  </si>
  <si>
    <t>7947 Glennscott St, Houston TX 77061</t>
  </si>
  <si>
    <t>06/17/26</t>
  </si>
  <si>
    <t>07/20/26</t>
  </si>
  <si>
    <t>07/17/26</t>
  </si>
  <si>
    <t>1/17/2055</t>
  </si>
  <si>
    <t>911 Hayloft Lane, San Antonio TX 78245</t>
  </si>
  <si>
    <t>12/29/2045</t>
  </si>
  <si>
    <t>917 Live Oak Street, Royse City TX 75189</t>
  </si>
  <si>
    <t>08/15/26</t>
  </si>
  <si>
    <t>08/17/26</t>
  </si>
  <si>
    <t>09/15/26</t>
  </si>
  <si>
    <t>11/15/2052</t>
  </si>
  <si>
    <t>Account Status Report Summary</t>
  </si>
  <si>
    <t>Total Accounts</t>
  </si>
  <si>
    <t>Total Payment</t>
  </si>
  <si>
    <t>Total Balance</t>
  </si>
  <si>
    <t>Total YTD Interest</t>
  </si>
  <si>
    <t>Total YTD Principal</t>
  </si>
  <si>
    <t>All accounts listed as Active</t>
  </si>
  <si>
    <t xml:space="preserve">Date Originated </t>
  </si>
  <si>
    <t xml:space="preserve">Original Balance </t>
  </si>
  <si>
    <t>Sales Price</t>
  </si>
  <si>
    <t>1st Payment Date</t>
  </si>
  <si>
    <t>Cash out refi</t>
  </si>
  <si>
    <t>Notes</t>
  </si>
  <si>
    <t>Cash out refi, Investor Interest only</t>
  </si>
  <si>
    <t>Investment property</t>
  </si>
  <si>
    <t>Cash out Investement</t>
  </si>
  <si>
    <t>LTV</t>
  </si>
  <si>
    <t>EST. VALUE</t>
  </si>
  <si>
    <t>H &amp; K HOMES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</si>
</sst>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&quot;$&quot;#,##0.00"/>
  </numFmts>
  <fonts count="1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0"/>
      <color rgb="FFFFFFFF"/>
      <name val="Arial"/>
      <family val="2"/>
    </font>
    <font>
      <b/>
      <sz val="14"/>
      <name val="Arial"/>
      <family val="2"/>
    </font>
    <font>
      <i/>
      <sz val="11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111116"/>
      <name val="Calibri"/>
      <family val="2"/>
      <scheme val="minor"/>
    </font>
    <font>
      <b/>
      <sz val="10"/>
      <color rgb="FF2A2A3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165" fontId="1" fillId="0" borderId="0" xfId="0" applyNumberFormat="1" applyFont="1"/>
    <xf numFmtId="0" fontId="4" fillId="0" borderId="0" xfId="0" applyFont="1"/>
    <xf numFmtId="0" fontId="2" fillId="2" borderId="2" xfId="0" applyFont="1" applyFill="1" applyBorder="1" applyAlignment="1">
      <alignment horizontal="center" vertical="center" wrapText="1"/>
    </xf>
    <xf numFmtId="44" fontId="2" fillId="2" borderId="2" xfId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9" fontId="2" fillId="2" borderId="2" xfId="2" applyFont="1" applyFill="1" applyBorder="1" applyAlignment="1">
      <alignment horizontal="center" vertical="center" wrapText="1"/>
    </xf>
    <xf numFmtId="44" fontId="6" fillId="2" borderId="2" xfId="1" applyFont="1" applyFill="1" applyBorder="1" applyAlignment="1">
      <alignment horizontal="center" vertical="center" wrapText="1"/>
    </xf>
    <xf numFmtId="0" fontId="7" fillId="0" borderId="0" xfId="0" applyFont="1"/>
    <xf numFmtId="0" fontId="8" fillId="3" borderId="1" xfId="0" applyFont="1" applyFill="1" applyBorder="1" applyAlignment="1">
      <alignment horizontal="left" vertical="center" wrapText="1"/>
    </xf>
    <xf numFmtId="44" fontId="8" fillId="3" borderId="1" xfId="1" applyFont="1" applyFill="1" applyBorder="1" applyAlignment="1">
      <alignment horizontal="right" vertical="center"/>
    </xf>
    <xf numFmtId="44" fontId="9" fillId="3" borderId="1" xfId="1" applyFont="1" applyFill="1" applyBorder="1" applyAlignment="1">
      <alignment horizontal="right" vertical="center"/>
    </xf>
    <xf numFmtId="44" fontId="8" fillId="3" borderId="1" xfId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center"/>
    </xf>
    <xf numFmtId="44" fontId="7" fillId="0" borderId="0" xfId="1" applyFont="1"/>
    <xf numFmtId="14" fontId="7" fillId="0" borderId="0" xfId="0" applyNumberFormat="1" applyFont="1"/>
    <xf numFmtId="9" fontId="7" fillId="0" borderId="0" xfId="2" applyFont="1" applyAlignment="1">
      <alignment horizontal="center"/>
    </xf>
    <xf numFmtId="44" fontId="10" fillId="0" borderId="0" xfId="1" applyFont="1"/>
    <xf numFmtId="44" fontId="11" fillId="0" borderId="0" xfId="1" applyFont="1"/>
    <xf numFmtId="0" fontId="8" fillId="0" borderId="1" xfId="0" applyFont="1" applyBorder="1" applyAlignment="1">
      <alignment horizontal="left" vertical="center" wrapText="1"/>
    </xf>
    <xf numFmtId="44" fontId="8" fillId="0" borderId="1" xfId="1" applyFont="1" applyBorder="1" applyAlignment="1">
      <alignment horizontal="right" vertical="center"/>
    </xf>
    <xf numFmtId="44" fontId="9" fillId="0" borderId="1" xfId="1" applyFont="1" applyBorder="1" applyAlignment="1">
      <alignment horizontal="right" vertical="center"/>
    </xf>
    <xf numFmtId="44" fontId="8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44" fontId="12" fillId="0" borderId="0" xfId="1" applyFont="1"/>
    <xf numFmtId="44" fontId="7" fillId="0" borderId="0" xfId="1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/>
    <xf numFmtId="44" fontId="13" fillId="0" borderId="0" xfId="1" applyFont="1"/>
    <xf numFmtId="44" fontId="13" fillId="0" borderId="0" xfId="1" applyFont="1" applyAlignment="1">
      <alignment horizontal="center"/>
    </xf>
    <xf numFmtId="0" fontId="13" fillId="0" borderId="0" xfId="0" applyFont="1" applyAlignment="1">
      <alignment horizontal="center"/>
    </xf>
    <xf numFmtId="9" fontId="13" fillId="0" borderId="0" xfId="2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30"/>
  <sheetViews>
    <sheetView tabSelected="1" workbookViewId="0">
      <pane ySplit="8" topLeftCell="A9" activePane="bottomLeft" state="frozen"/>
      <selection pane="bottomLeft" activeCell="A5" sqref="A5"/>
    </sheetView>
  </sheetViews>
  <sheetFormatPr defaultRowHeight="13.15" x14ac:dyDescent="0.4"/>
  <cols>
    <col min="1" max="1" width="42" style="11" customWidth="1"/>
    <col min="2" max="2" width="14.86328125" style="19" customWidth="1"/>
    <col min="3" max="3" width="14" style="22" customWidth="1"/>
    <col min="4" max="4" width="13" style="19" hidden="1" customWidth="1"/>
    <col min="5" max="5" width="13" style="31" hidden="1" customWidth="1"/>
    <col min="6" max="6" width="14" style="11" hidden="1" customWidth="1"/>
    <col min="7" max="8" width="11" style="11" hidden="1" customWidth="1"/>
    <col min="9" max="9" width="12" style="32" hidden="1" customWidth="1"/>
    <col min="10" max="11" width="12" style="11" hidden="1" customWidth="1"/>
    <col min="12" max="12" width="13.59765625" style="33" customWidth="1"/>
    <col min="13" max="14" width="13.3984375" style="19" bestFit="1" customWidth="1"/>
    <col min="15" max="15" width="10.73046875" style="11" bestFit="1" customWidth="1"/>
    <col min="16" max="16" width="10.73046875" style="21" customWidth="1"/>
    <col min="17" max="17" width="28.53125" style="11" bestFit="1" customWidth="1"/>
    <col min="18" max="18" width="17.46484375" style="22" customWidth="1"/>
    <col min="19" max="16384" width="9.06640625" style="11"/>
  </cols>
  <sheetData>
    <row r="3" spans="1:18" s="34" customFormat="1" ht="18" x14ac:dyDescent="0.55000000000000004">
      <c r="A3" s="34" t="s">
        <v>109</v>
      </c>
      <c r="B3" s="35"/>
      <c r="C3" s="35"/>
      <c r="D3" s="35"/>
      <c r="E3" s="36"/>
      <c r="I3" s="37"/>
      <c r="L3" s="37"/>
      <c r="M3" s="35"/>
      <c r="N3" s="35"/>
      <c r="P3" s="38"/>
      <c r="R3" s="35"/>
    </row>
    <row r="8" spans="1:18" ht="39.4" x14ac:dyDescent="0.4">
      <c r="A8" s="2" t="s">
        <v>0</v>
      </c>
      <c r="B8" s="8" t="s">
        <v>1</v>
      </c>
      <c r="C8" s="8" t="s">
        <v>2</v>
      </c>
      <c r="D8" s="8" t="s">
        <v>3</v>
      </c>
      <c r="E8" s="8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6" t="s">
        <v>98</v>
      </c>
      <c r="M8" s="7" t="s">
        <v>99</v>
      </c>
      <c r="N8" s="7" t="s">
        <v>100</v>
      </c>
      <c r="O8" s="6" t="s">
        <v>101</v>
      </c>
      <c r="P8" s="9" t="s">
        <v>107</v>
      </c>
      <c r="Q8" s="6" t="s">
        <v>103</v>
      </c>
      <c r="R8" s="10" t="s">
        <v>108</v>
      </c>
    </row>
    <row r="9" spans="1:18" x14ac:dyDescent="0.4">
      <c r="A9" s="12" t="s">
        <v>13</v>
      </c>
      <c r="B9" s="13">
        <v>3353.33</v>
      </c>
      <c r="C9" s="14">
        <v>400000</v>
      </c>
      <c r="D9" s="13">
        <v>16666.650000000001</v>
      </c>
      <c r="E9" s="15">
        <v>0</v>
      </c>
      <c r="F9" s="16" t="s">
        <v>14</v>
      </c>
      <c r="G9" s="16" t="s">
        <v>15</v>
      </c>
      <c r="H9" s="16" t="s">
        <v>16</v>
      </c>
      <c r="I9" s="17">
        <v>10</v>
      </c>
      <c r="J9" s="16" t="s">
        <v>17</v>
      </c>
      <c r="K9" s="16" t="s">
        <v>12</v>
      </c>
      <c r="L9" s="18">
        <v>46100</v>
      </c>
      <c r="M9" s="19">
        <v>400000</v>
      </c>
      <c r="N9" s="19">
        <v>540000</v>
      </c>
      <c r="O9" s="20">
        <v>46131</v>
      </c>
      <c r="P9" s="21">
        <f>M9/N9</f>
        <v>0.7407407407407407</v>
      </c>
      <c r="R9" s="22">
        <v>499000</v>
      </c>
    </row>
    <row r="10" spans="1:18" x14ac:dyDescent="0.4">
      <c r="A10" s="12" t="s">
        <v>20</v>
      </c>
      <c r="B10" s="13">
        <v>1823.03</v>
      </c>
      <c r="C10" s="14">
        <v>125310.24</v>
      </c>
      <c r="D10" s="13">
        <v>8004.07</v>
      </c>
      <c r="E10" s="15">
        <v>1884.41</v>
      </c>
      <c r="F10" s="16" t="s">
        <v>21</v>
      </c>
      <c r="G10" s="16" t="s">
        <v>11</v>
      </c>
      <c r="H10" s="16" t="s">
        <v>22</v>
      </c>
      <c r="I10" s="17">
        <v>9.5</v>
      </c>
      <c r="J10" s="16" t="s">
        <v>23</v>
      </c>
      <c r="K10" s="16" t="s">
        <v>12</v>
      </c>
      <c r="L10" s="18">
        <v>42054</v>
      </c>
      <c r="M10" s="19">
        <v>147000</v>
      </c>
      <c r="N10" s="19">
        <v>212000</v>
      </c>
      <c r="O10" s="20">
        <v>42082</v>
      </c>
      <c r="P10" s="21">
        <f t="shared" ref="P10:P30" si="0">M10/N10</f>
        <v>0.69339622641509435</v>
      </c>
      <c r="R10" s="23">
        <v>384600</v>
      </c>
    </row>
    <row r="11" spans="1:18" x14ac:dyDescent="0.4">
      <c r="A11" s="24" t="s">
        <v>24</v>
      </c>
      <c r="B11" s="25">
        <v>2142.41</v>
      </c>
      <c r="C11" s="26">
        <v>192919.38</v>
      </c>
      <c r="D11" s="25">
        <v>9024.34</v>
      </c>
      <c r="E11" s="27">
        <v>759.42</v>
      </c>
      <c r="F11" s="28" t="s">
        <v>25</v>
      </c>
      <c r="G11" s="28" t="s">
        <v>26</v>
      </c>
      <c r="H11" s="28" t="s">
        <v>21</v>
      </c>
      <c r="I11" s="29">
        <v>8</v>
      </c>
      <c r="J11" s="28" t="s">
        <v>27</v>
      </c>
      <c r="K11" s="28" t="s">
        <v>12</v>
      </c>
      <c r="L11" s="18">
        <v>44488</v>
      </c>
      <c r="M11" s="19">
        <v>200000</v>
      </c>
      <c r="N11" s="19">
        <v>250000</v>
      </c>
      <c r="O11" s="20">
        <v>44519</v>
      </c>
      <c r="P11" s="21">
        <f t="shared" si="0"/>
        <v>0.8</v>
      </c>
      <c r="R11" s="23">
        <v>242200</v>
      </c>
    </row>
    <row r="12" spans="1:18" x14ac:dyDescent="0.4">
      <c r="A12" s="24" t="s">
        <v>28</v>
      </c>
      <c r="B12" s="25">
        <v>2977.6</v>
      </c>
      <c r="C12" s="26">
        <v>195445.13</v>
      </c>
      <c r="D12" s="25">
        <v>14264.8</v>
      </c>
      <c r="E12" s="27">
        <v>9422.9</v>
      </c>
      <c r="F12" s="28" t="s">
        <v>29</v>
      </c>
      <c r="G12" s="28" t="s">
        <v>30</v>
      </c>
      <c r="H12" s="28" t="s">
        <v>31</v>
      </c>
      <c r="I12" s="29">
        <v>8.5</v>
      </c>
      <c r="J12" s="28" t="s">
        <v>32</v>
      </c>
      <c r="K12" s="28" t="s">
        <v>12</v>
      </c>
      <c r="L12" s="18">
        <v>45296</v>
      </c>
      <c r="M12" s="19">
        <v>220000</v>
      </c>
      <c r="N12" s="19">
        <v>300000</v>
      </c>
      <c r="O12" s="20">
        <v>45327</v>
      </c>
      <c r="P12" s="21">
        <f t="shared" si="0"/>
        <v>0.73333333333333328</v>
      </c>
      <c r="Q12" s="11" t="s">
        <v>102</v>
      </c>
      <c r="R12" s="23">
        <v>302400</v>
      </c>
    </row>
    <row r="13" spans="1:18" x14ac:dyDescent="0.4">
      <c r="A13" s="12" t="s">
        <v>33</v>
      </c>
      <c r="B13" s="13">
        <v>2094.69</v>
      </c>
      <c r="C13" s="14">
        <v>168782.9</v>
      </c>
      <c r="D13" s="13">
        <v>11294.99</v>
      </c>
      <c r="E13" s="15">
        <v>1130.3699999999999</v>
      </c>
      <c r="F13" s="16" t="s">
        <v>34</v>
      </c>
      <c r="G13" s="16" t="s">
        <v>19</v>
      </c>
      <c r="H13" s="16" t="s">
        <v>21</v>
      </c>
      <c r="I13" s="17">
        <v>10</v>
      </c>
      <c r="J13" s="16" t="s">
        <v>35</v>
      </c>
      <c r="K13" s="16" t="s">
        <v>12</v>
      </c>
      <c r="L13" s="18">
        <v>43168</v>
      </c>
      <c r="M13" s="19">
        <v>179664</v>
      </c>
      <c r="N13" s="19">
        <v>224581</v>
      </c>
      <c r="O13" s="20">
        <v>43199</v>
      </c>
      <c r="P13" s="21">
        <f t="shared" si="0"/>
        <v>0.79999643781085661</v>
      </c>
      <c r="R13" s="23">
        <v>269200</v>
      </c>
    </row>
    <row r="14" spans="1:18" x14ac:dyDescent="0.4">
      <c r="A14" s="24" t="s">
        <v>36</v>
      </c>
      <c r="B14" s="25">
        <v>1655.45</v>
      </c>
      <c r="C14" s="26">
        <v>95801.59</v>
      </c>
      <c r="D14" s="25">
        <v>6422.69</v>
      </c>
      <c r="E14" s="27">
        <v>948.91</v>
      </c>
      <c r="F14" s="28" t="s">
        <v>21</v>
      </c>
      <c r="G14" s="28" t="s">
        <v>37</v>
      </c>
      <c r="H14" s="28" t="s">
        <v>22</v>
      </c>
      <c r="I14" s="29">
        <v>10</v>
      </c>
      <c r="J14" s="28" t="s">
        <v>38</v>
      </c>
      <c r="K14" s="28" t="s">
        <v>12</v>
      </c>
      <c r="L14" s="18">
        <v>42452</v>
      </c>
      <c r="M14" s="19">
        <v>105000</v>
      </c>
      <c r="N14" s="19">
        <v>255000</v>
      </c>
      <c r="O14" s="20">
        <v>42483</v>
      </c>
      <c r="P14" s="21">
        <f t="shared" si="0"/>
        <v>0.41176470588235292</v>
      </c>
      <c r="R14" s="23">
        <v>388100</v>
      </c>
    </row>
    <row r="15" spans="1:18" x14ac:dyDescent="0.4">
      <c r="A15" s="12" t="s">
        <v>39</v>
      </c>
      <c r="B15" s="13">
        <v>1822.95</v>
      </c>
      <c r="C15" s="14">
        <v>138853.51</v>
      </c>
      <c r="D15" s="13">
        <v>7433.41</v>
      </c>
      <c r="E15" s="15">
        <v>896.79</v>
      </c>
      <c r="F15" s="16" t="s">
        <v>25</v>
      </c>
      <c r="G15" s="16" t="s">
        <v>40</v>
      </c>
      <c r="H15" s="16" t="s">
        <v>21</v>
      </c>
      <c r="I15" s="17">
        <v>8</v>
      </c>
      <c r="J15" s="16" t="s">
        <v>41</v>
      </c>
      <c r="K15" s="16" t="s">
        <v>12</v>
      </c>
      <c r="L15" s="18">
        <v>44804</v>
      </c>
      <c r="M15" s="19">
        <v>143500</v>
      </c>
      <c r="N15" s="19">
        <v>205000</v>
      </c>
      <c r="O15" s="20">
        <v>44835</v>
      </c>
      <c r="P15" s="21">
        <f t="shared" si="0"/>
        <v>0.7</v>
      </c>
      <c r="R15" s="23">
        <v>171400</v>
      </c>
    </row>
    <row r="16" spans="1:18" x14ac:dyDescent="0.4">
      <c r="A16" s="24" t="s">
        <v>42</v>
      </c>
      <c r="B16" s="25">
        <v>827.79</v>
      </c>
      <c r="C16" s="26">
        <v>57951.29</v>
      </c>
      <c r="D16" s="25">
        <v>3311.06</v>
      </c>
      <c r="E16" s="27">
        <v>814.52</v>
      </c>
      <c r="F16" s="28" t="s">
        <v>43</v>
      </c>
      <c r="G16" s="28" t="s">
        <v>44</v>
      </c>
      <c r="H16" s="28" t="s">
        <v>45</v>
      </c>
      <c r="I16" s="29">
        <v>8.5</v>
      </c>
      <c r="J16" s="28" t="s">
        <v>46</v>
      </c>
      <c r="K16" s="28" t="s">
        <v>12</v>
      </c>
      <c r="L16" s="18">
        <v>42857</v>
      </c>
      <c r="M16" s="19">
        <v>65000</v>
      </c>
      <c r="N16" s="19">
        <v>115000</v>
      </c>
      <c r="O16" s="20">
        <v>42888</v>
      </c>
      <c r="P16" s="21">
        <f t="shared" si="0"/>
        <v>0.56521739130434778</v>
      </c>
      <c r="R16" s="23">
        <v>157500</v>
      </c>
    </row>
    <row r="17" spans="1:18" x14ac:dyDescent="0.4">
      <c r="A17" s="12" t="s">
        <v>48</v>
      </c>
      <c r="B17" s="13">
        <v>6607.49</v>
      </c>
      <c r="C17" s="14">
        <v>510000</v>
      </c>
      <c r="D17" s="13">
        <v>10200</v>
      </c>
      <c r="E17" s="15">
        <v>0</v>
      </c>
      <c r="F17" s="16" t="s">
        <v>26</v>
      </c>
      <c r="G17" s="16" t="s">
        <v>26</v>
      </c>
      <c r="H17" s="16" t="s">
        <v>49</v>
      </c>
      <c r="I17" s="17">
        <v>12</v>
      </c>
      <c r="J17" s="16" t="s">
        <v>50</v>
      </c>
      <c r="K17" s="16" t="s">
        <v>12</v>
      </c>
      <c r="L17" s="18">
        <v>46174</v>
      </c>
      <c r="M17" s="19">
        <v>510000</v>
      </c>
      <c r="N17" s="19">
        <v>750000</v>
      </c>
      <c r="O17" s="20">
        <v>46204</v>
      </c>
      <c r="P17" s="21">
        <f t="shared" si="0"/>
        <v>0.68</v>
      </c>
      <c r="Q17" s="11" t="s">
        <v>104</v>
      </c>
      <c r="R17" s="23">
        <v>253920</v>
      </c>
    </row>
    <row r="18" spans="1:18" x14ac:dyDescent="0.4">
      <c r="A18" s="24" t="s">
        <v>51</v>
      </c>
      <c r="B18" s="25">
        <v>835.95</v>
      </c>
      <c r="C18" s="26">
        <v>73975.86</v>
      </c>
      <c r="D18" s="25">
        <v>4946.46</v>
      </c>
      <c r="E18" s="27">
        <v>389.14</v>
      </c>
      <c r="F18" s="28" t="s">
        <v>21</v>
      </c>
      <c r="G18" s="28" t="s">
        <v>52</v>
      </c>
      <c r="H18" s="28" t="s">
        <v>22</v>
      </c>
      <c r="I18" s="29">
        <v>10</v>
      </c>
      <c r="J18" s="28" t="s">
        <v>53</v>
      </c>
      <c r="K18" s="28" t="s">
        <v>12</v>
      </c>
      <c r="L18" s="18">
        <v>44741</v>
      </c>
      <c r="M18" s="19">
        <v>76000</v>
      </c>
      <c r="N18" s="19">
        <v>95000</v>
      </c>
      <c r="O18" s="20">
        <v>44771</v>
      </c>
      <c r="P18" s="21">
        <f t="shared" si="0"/>
        <v>0.8</v>
      </c>
      <c r="R18" s="23">
        <v>110000</v>
      </c>
    </row>
    <row r="19" spans="1:18" x14ac:dyDescent="0.4">
      <c r="A19" s="12" t="s">
        <v>54</v>
      </c>
      <c r="B19" s="13">
        <v>846.61</v>
      </c>
      <c r="C19" s="14">
        <v>58128.34</v>
      </c>
      <c r="D19" s="13">
        <v>3897.55</v>
      </c>
      <c r="E19" s="15">
        <v>589.97</v>
      </c>
      <c r="F19" s="16" t="s">
        <v>37</v>
      </c>
      <c r="G19" s="16" t="s">
        <v>37</v>
      </c>
      <c r="H19" s="16" t="s">
        <v>55</v>
      </c>
      <c r="I19" s="17">
        <v>10</v>
      </c>
      <c r="J19" s="16" t="s">
        <v>56</v>
      </c>
      <c r="K19" s="16" t="s">
        <v>12</v>
      </c>
      <c r="L19" s="18">
        <v>42587</v>
      </c>
      <c r="M19" s="19">
        <v>63920</v>
      </c>
      <c r="N19" s="19">
        <v>79500</v>
      </c>
      <c r="O19" s="20">
        <v>42618</v>
      </c>
      <c r="P19" s="21">
        <f t="shared" si="0"/>
        <v>0.8040251572327044</v>
      </c>
      <c r="R19" s="23">
        <v>150600</v>
      </c>
    </row>
    <row r="20" spans="1:18" x14ac:dyDescent="0.4">
      <c r="A20" s="24" t="s">
        <v>57</v>
      </c>
      <c r="B20" s="25">
        <v>2456.89</v>
      </c>
      <c r="C20" s="26">
        <v>177619.07</v>
      </c>
      <c r="D20" s="25">
        <v>11887.31</v>
      </c>
      <c r="E20" s="27">
        <v>1215.81</v>
      </c>
      <c r="F20" s="28" t="s">
        <v>15</v>
      </c>
      <c r="G20" s="28" t="s">
        <v>15</v>
      </c>
      <c r="H20" s="28" t="s">
        <v>58</v>
      </c>
      <c r="I20" s="29">
        <v>10</v>
      </c>
      <c r="J20" s="28" t="s">
        <v>59</v>
      </c>
      <c r="K20" s="28" t="s">
        <v>12</v>
      </c>
      <c r="L20" s="18">
        <v>43854</v>
      </c>
      <c r="M20" s="19">
        <v>186639</v>
      </c>
      <c r="N20" s="19">
        <v>233299</v>
      </c>
      <c r="O20" s="20">
        <v>43885</v>
      </c>
      <c r="P20" s="21">
        <f t="shared" si="0"/>
        <v>0.79999914273100181</v>
      </c>
      <c r="R20" s="23">
        <v>331900</v>
      </c>
    </row>
    <row r="21" spans="1:18" x14ac:dyDescent="0.4">
      <c r="A21" s="12" t="s">
        <v>60</v>
      </c>
      <c r="B21" s="13">
        <v>2624.17</v>
      </c>
      <c r="C21" s="14">
        <v>238937.31</v>
      </c>
      <c r="D21" s="13">
        <v>13851.58</v>
      </c>
      <c r="E21" s="15">
        <v>14.04</v>
      </c>
      <c r="F21" s="16" t="s">
        <v>61</v>
      </c>
      <c r="G21" s="16" t="s">
        <v>30</v>
      </c>
      <c r="H21" s="16" t="s">
        <v>18</v>
      </c>
      <c r="I21" s="17">
        <v>10</v>
      </c>
      <c r="J21" s="16" t="s">
        <v>62</v>
      </c>
      <c r="K21" s="16" t="s">
        <v>12</v>
      </c>
      <c r="L21" s="18">
        <v>44537</v>
      </c>
      <c r="M21" s="19">
        <v>240000</v>
      </c>
      <c r="N21" s="19">
        <v>300000</v>
      </c>
      <c r="O21" s="20">
        <v>44568</v>
      </c>
      <c r="P21" s="21">
        <f t="shared" si="0"/>
        <v>0.8</v>
      </c>
      <c r="R21" s="23">
        <v>300700</v>
      </c>
    </row>
    <row r="22" spans="1:18" x14ac:dyDescent="0.4">
      <c r="A22" s="24" t="s">
        <v>63</v>
      </c>
      <c r="B22" s="25">
        <v>2725.29</v>
      </c>
      <c r="C22" s="26">
        <v>190208.87</v>
      </c>
      <c r="D22" s="25">
        <v>12744.57</v>
      </c>
      <c r="E22" s="27">
        <v>1689.75</v>
      </c>
      <c r="F22" s="28" t="s">
        <v>37</v>
      </c>
      <c r="G22" s="28" t="s">
        <v>37</v>
      </c>
      <c r="H22" s="28" t="s">
        <v>55</v>
      </c>
      <c r="I22" s="29">
        <v>10</v>
      </c>
      <c r="J22" s="28" t="s">
        <v>64</v>
      </c>
      <c r="K22" s="28" t="s">
        <v>12</v>
      </c>
      <c r="L22" s="18">
        <v>42984</v>
      </c>
      <c r="M22" s="19">
        <v>205600</v>
      </c>
      <c r="N22" s="19">
        <v>257000</v>
      </c>
      <c r="O22" s="20">
        <v>43014</v>
      </c>
      <c r="P22" s="21">
        <f t="shared" si="0"/>
        <v>0.8</v>
      </c>
      <c r="R22" s="23">
        <v>334200</v>
      </c>
    </row>
    <row r="23" spans="1:18" x14ac:dyDescent="0.4">
      <c r="A23" s="12" t="s">
        <v>65</v>
      </c>
      <c r="B23" s="13">
        <v>12940.5</v>
      </c>
      <c r="C23" s="14">
        <v>1040000</v>
      </c>
      <c r="D23" s="13">
        <v>10400</v>
      </c>
      <c r="E23" s="15">
        <v>0</v>
      </c>
      <c r="F23" s="16" t="s">
        <v>66</v>
      </c>
      <c r="G23" s="16" t="s">
        <v>30</v>
      </c>
      <c r="H23" s="16" t="s">
        <v>43</v>
      </c>
      <c r="I23" s="17">
        <v>12</v>
      </c>
      <c r="J23" s="16" t="s">
        <v>67</v>
      </c>
      <c r="K23" s="16" t="s">
        <v>12</v>
      </c>
      <c r="L23" s="18">
        <v>46212</v>
      </c>
      <c r="M23" s="19">
        <v>1040000</v>
      </c>
      <c r="N23" s="19">
        <v>1750000</v>
      </c>
      <c r="O23" s="20">
        <v>46243</v>
      </c>
      <c r="P23" s="21">
        <f t="shared" si="0"/>
        <v>0.59428571428571431</v>
      </c>
      <c r="Q23" s="11" t="s">
        <v>104</v>
      </c>
      <c r="R23" s="30">
        <v>1995000</v>
      </c>
    </row>
    <row r="24" spans="1:18" x14ac:dyDescent="0.4">
      <c r="A24" s="24" t="s">
        <v>68</v>
      </c>
      <c r="B24" s="25">
        <v>967.02</v>
      </c>
      <c r="C24" s="26">
        <v>54003.02</v>
      </c>
      <c r="D24" s="25">
        <v>3622.41</v>
      </c>
      <c r="E24" s="27">
        <v>586.39</v>
      </c>
      <c r="F24" s="28" t="s">
        <v>69</v>
      </c>
      <c r="G24" s="28" t="s">
        <v>52</v>
      </c>
      <c r="H24" s="28" t="s">
        <v>22</v>
      </c>
      <c r="I24" s="29">
        <v>10</v>
      </c>
      <c r="J24" s="28" t="s">
        <v>70</v>
      </c>
      <c r="K24" s="28" t="s">
        <v>12</v>
      </c>
      <c r="L24" s="18">
        <v>42373</v>
      </c>
      <c r="M24" s="19">
        <v>59950</v>
      </c>
      <c r="N24" s="19">
        <v>119900</v>
      </c>
      <c r="O24" s="20">
        <v>42404</v>
      </c>
      <c r="P24" s="21">
        <f t="shared" si="0"/>
        <v>0.5</v>
      </c>
      <c r="R24" s="23">
        <v>200100</v>
      </c>
    </row>
    <row r="25" spans="1:18" x14ac:dyDescent="0.4">
      <c r="A25" s="12" t="s">
        <v>71</v>
      </c>
      <c r="B25" s="13">
        <v>2352.44</v>
      </c>
      <c r="C25" s="14">
        <v>195674.79</v>
      </c>
      <c r="D25" s="13">
        <v>10575.43</v>
      </c>
      <c r="E25" s="15">
        <v>7144.43</v>
      </c>
      <c r="F25" s="16" t="s">
        <v>21</v>
      </c>
      <c r="G25" s="16" t="s">
        <v>47</v>
      </c>
      <c r="H25" s="16" t="s">
        <v>22</v>
      </c>
      <c r="I25" s="17">
        <v>8</v>
      </c>
      <c r="J25" s="16" t="s">
        <v>72</v>
      </c>
      <c r="K25" s="16" t="s">
        <v>12</v>
      </c>
      <c r="L25" s="18">
        <v>44181</v>
      </c>
      <c r="M25" s="19">
        <v>213500</v>
      </c>
      <c r="N25" s="19">
        <v>305000</v>
      </c>
      <c r="O25" s="20">
        <v>44212</v>
      </c>
      <c r="P25" s="21">
        <f t="shared" si="0"/>
        <v>0.7</v>
      </c>
      <c r="R25" s="23">
        <v>373500</v>
      </c>
    </row>
    <row r="26" spans="1:18" x14ac:dyDescent="0.4">
      <c r="A26" s="24" t="s">
        <v>73</v>
      </c>
      <c r="B26" s="25">
        <v>1646.61</v>
      </c>
      <c r="C26" s="26">
        <v>125748.68</v>
      </c>
      <c r="D26" s="25">
        <v>8419.89</v>
      </c>
      <c r="E26" s="27">
        <v>1018.75</v>
      </c>
      <c r="F26" s="28" t="s">
        <v>21</v>
      </c>
      <c r="G26" s="28" t="s">
        <v>74</v>
      </c>
      <c r="H26" s="28" t="s">
        <v>22</v>
      </c>
      <c r="I26" s="29">
        <v>10</v>
      </c>
      <c r="J26" s="28" t="s">
        <v>75</v>
      </c>
      <c r="K26" s="28" t="s">
        <v>12</v>
      </c>
      <c r="L26" s="18">
        <v>42921</v>
      </c>
      <c r="M26" s="19">
        <v>136000</v>
      </c>
      <c r="N26" s="19">
        <v>170000</v>
      </c>
      <c r="O26" s="20">
        <v>42952</v>
      </c>
      <c r="P26" s="21">
        <f t="shared" si="0"/>
        <v>0.8</v>
      </c>
      <c r="R26" s="23">
        <v>229200</v>
      </c>
    </row>
    <row r="27" spans="1:18" x14ac:dyDescent="0.4">
      <c r="A27" s="24" t="s">
        <v>76</v>
      </c>
      <c r="B27" s="25">
        <v>2293.34</v>
      </c>
      <c r="C27" s="26">
        <v>221634.38</v>
      </c>
      <c r="D27" s="25">
        <v>13337.08</v>
      </c>
      <c r="E27" s="27">
        <v>1146.1199999999999</v>
      </c>
      <c r="F27" s="28" t="s">
        <v>52</v>
      </c>
      <c r="G27" s="28" t="s">
        <v>19</v>
      </c>
      <c r="H27" s="28" t="s">
        <v>77</v>
      </c>
      <c r="I27" s="29">
        <v>9</v>
      </c>
      <c r="J27" s="28" t="s">
        <v>78</v>
      </c>
      <c r="K27" s="28" t="s">
        <v>12</v>
      </c>
      <c r="L27" s="18">
        <v>45476</v>
      </c>
      <c r="M27" s="19">
        <v>225000</v>
      </c>
      <c r="N27" s="19">
        <v>325000</v>
      </c>
      <c r="O27" s="20">
        <v>45507</v>
      </c>
      <c r="P27" s="21">
        <f>M27/N27</f>
        <v>0.69230769230769229</v>
      </c>
      <c r="R27" s="30">
        <v>295000</v>
      </c>
    </row>
    <row r="28" spans="1:18" x14ac:dyDescent="0.4">
      <c r="A28" s="12" t="s">
        <v>79</v>
      </c>
      <c r="B28" s="13">
        <v>2076.7800000000002</v>
      </c>
      <c r="C28" s="14">
        <v>154278.57</v>
      </c>
      <c r="D28" s="13">
        <v>9358.0499999999993</v>
      </c>
      <c r="E28" s="15">
        <v>226.05</v>
      </c>
      <c r="F28" s="16" t="s">
        <v>80</v>
      </c>
      <c r="G28" s="16" t="s">
        <v>81</v>
      </c>
      <c r="H28" s="16" t="s">
        <v>82</v>
      </c>
      <c r="I28" s="17">
        <v>12</v>
      </c>
      <c r="J28" s="16" t="s">
        <v>83</v>
      </c>
      <c r="K28" s="16" t="s">
        <v>12</v>
      </c>
      <c r="L28" s="18">
        <v>45674</v>
      </c>
      <c r="M28" s="19">
        <v>155000</v>
      </c>
      <c r="N28" s="19">
        <v>202000</v>
      </c>
      <c r="O28" s="20">
        <v>45705</v>
      </c>
      <c r="P28" s="21">
        <f t="shared" si="0"/>
        <v>0.76732673267326734</v>
      </c>
      <c r="Q28" s="11" t="s">
        <v>105</v>
      </c>
      <c r="R28" s="30">
        <v>224000</v>
      </c>
    </row>
    <row r="29" spans="1:18" x14ac:dyDescent="0.4">
      <c r="A29" s="12" t="s">
        <v>84</v>
      </c>
      <c r="B29" s="13">
        <v>1229.96</v>
      </c>
      <c r="C29" s="14">
        <v>77164.399999999994</v>
      </c>
      <c r="D29" s="13">
        <v>5172.74</v>
      </c>
      <c r="E29" s="15">
        <v>735.28</v>
      </c>
      <c r="F29" s="16" t="s">
        <v>25</v>
      </c>
      <c r="G29" s="16" t="s">
        <v>11</v>
      </c>
      <c r="H29" s="16" t="s">
        <v>21</v>
      </c>
      <c r="I29" s="17">
        <v>10</v>
      </c>
      <c r="J29" s="16" t="s">
        <v>85</v>
      </c>
      <c r="K29" s="16" t="s">
        <v>12</v>
      </c>
      <c r="L29" s="18">
        <v>42366</v>
      </c>
      <c r="M29" s="19">
        <v>85200</v>
      </c>
      <c r="N29" s="19">
        <v>106500</v>
      </c>
      <c r="O29" s="20">
        <v>42397</v>
      </c>
      <c r="P29" s="21">
        <f t="shared" si="0"/>
        <v>0.8</v>
      </c>
      <c r="R29" s="23">
        <v>176300</v>
      </c>
    </row>
    <row r="30" spans="1:18" x14ac:dyDescent="0.4">
      <c r="A30" s="24" t="s">
        <v>86</v>
      </c>
      <c r="B30" s="25">
        <v>2151.9299999999998</v>
      </c>
      <c r="C30" s="26">
        <v>180553.63</v>
      </c>
      <c r="D30" s="25">
        <v>12071.62</v>
      </c>
      <c r="E30" s="27">
        <v>916.46</v>
      </c>
      <c r="F30" s="28" t="s">
        <v>87</v>
      </c>
      <c r="G30" s="28" t="s">
        <v>88</v>
      </c>
      <c r="H30" s="28" t="s">
        <v>89</v>
      </c>
      <c r="I30" s="29">
        <v>10</v>
      </c>
      <c r="J30" s="28" t="s">
        <v>90</v>
      </c>
      <c r="K30" s="28" t="s">
        <v>12</v>
      </c>
      <c r="L30" s="18">
        <v>44880</v>
      </c>
      <c r="M30" s="19">
        <v>185000</v>
      </c>
      <c r="N30" s="19">
        <v>226000</v>
      </c>
      <c r="O30" s="20">
        <v>44910</v>
      </c>
      <c r="P30" s="21">
        <f t="shared" si="0"/>
        <v>0.81858407079646023</v>
      </c>
      <c r="Q30" s="11" t="s">
        <v>106</v>
      </c>
      <c r="R30" s="23">
        <v>177700</v>
      </c>
    </row>
  </sheetData>
  <autoFilter ref="A8:K30" xr:uid="{00000000-0009-0000-0000-000000000000}"/>
  <pageMargins left="0.75" right="0.75" top="1" bottom="1" header="0.5" footer="0.5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25" x14ac:dyDescent="0.45"/>
  <cols>
    <col min="1" max="1" width="22" customWidth="1"/>
    <col min="2" max="2" width="18" customWidth="1"/>
  </cols>
  <sheetData>
    <row r="1" spans="1:2" ht="17.649999999999999" x14ac:dyDescent="0.5">
      <c r="A1" s="3" t="s">
        <v>91</v>
      </c>
    </row>
    <row r="3" spans="1:2" x14ac:dyDescent="0.45">
      <c r="A3" s="1" t="s">
        <v>92</v>
      </c>
      <c r="B3" s="1">
        <v>32</v>
      </c>
    </row>
    <row r="4" spans="1:2" x14ac:dyDescent="0.45">
      <c r="A4" s="1" t="s">
        <v>93</v>
      </c>
      <c r="B4" s="4">
        <v>90735.29</v>
      </c>
    </row>
    <row r="5" spans="1:2" x14ac:dyDescent="0.45">
      <c r="A5" s="1" t="s">
        <v>94</v>
      </c>
      <c r="B5" s="4">
        <v>7262035.3700000001</v>
      </c>
    </row>
    <row r="6" spans="1:2" x14ac:dyDescent="0.45">
      <c r="A6" s="1" t="s">
        <v>95</v>
      </c>
      <c r="B6" s="4">
        <v>370992.25</v>
      </c>
    </row>
    <row r="7" spans="1:2" x14ac:dyDescent="0.45">
      <c r="A7" s="1" t="s">
        <v>96</v>
      </c>
      <c r="B7" s="4">
        <v>46785.69</v>
      </c>
    </row>
    <row r="9" spans="1:2" x14ac:dyDescent="0.45">
      <c r="A9" s="5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 Status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MONTES</cp:lastModifiedBy>
  <cp:lastPrinted>2026-08-26T22:40:02Z</cp:lastPrinted>
  <dcterms:created xsi:type="dcterms:W3CDTF">2026-08-26T22:15:53Z</dcterms:created>
  <dcterms:modified xsi:type="dcterms:W3CDTF">2026-10-13T15:59:38Z</dcterms:modified>
</cp:coreProperties>
</file>